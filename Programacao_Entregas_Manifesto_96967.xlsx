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ção Entregas" sheetId="1" state="visible" r:id="rId3"/>
  </sheets>
  <definedNames>
    <definedName function="false" hidden="true" localSheetId="0" name="_xlnm._FilterDatabase" vbProcedure="false">'Programação Entregas'!$A$1:$I$4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<sst xmlns="http://schemas.openxmlformats.org/spreadsheetml/2006/main" count="31" uniqueCount="29">
  <si>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Entrega</t>
  </si>
  <si>
    <t xml:space="preserve">Peso (kg)</t>
  </si>
  <si>
    <t xml:space="preserve">Volumes</t>
  </si>
  <si>
    <t xml:space="preserve">Cubagem</t>
  </si>
  <si>
    <t xml:space="preserve">Valor da Mercadoria</t>
  </si>
  <si>
    <t xml:space="preserve">Destinatário</t>
  </si>
  <si>
    <t xml:space="preserve">Cidade/UF</t>
  </si>
  <si>
    <t xml:space="preserve">Documento (NF)</t>
  </si>
  <si>
    <t xml:space="preserve">Minuta (MD)</t>
  </si>
  <si>
    <t xml:space="preserve">Entrega SAMSONITE BRASIL LTDA</t>
  </si>
  <si>
    <t xml:space="preserve">SAMSONITE BRASIL LTDA-OUTLET PREMIUM</t>
  </si>
  <si>
    <t xml:space="preserve">ITUPEVA/SP</t>
  </si>
  <si>
    <t xml:space="preserve">106261</t>
  </si>
  <si>
    <t xml:space="preserve">305263</t>
  </si>
  <si>
    <t xml:space="preserve">Entrega PORSCHER BRASIL IMPORTADORA DE VEICULOS LTDA</t>
  </si>
  <si>
    <t xml:space="preserve">FORTE ARMAZENS GERAIS E LOGISTICA LTDA</t>
  </si>
  <si>
    <t xml:space="preserve">ITAJAI/SC</t>
  </si>
  <si>
    <t xml:space="preserve">27881, 35519</t>
  </si>
  <si>
    <t xml:space="preserve">306034</t>
  </si>
  <si>
    <t xml:space="preserve">Entrega MRH VEICULOS LTDA.</t>
  </si>
  <si>
    <t xml:space="preserve">105056, 105058, 35467</t>
  </si>
  <si>
    <t xml:space="preserve">306035</t>
  </si>
  <si>
    <t xml:space="preserve">Resumo do Manifesto</t>
  </si>
  <si>
    <t xml:space="preserve">Total de Remessas</t>
  </si>
  <si>
    <t xml:space="preserve">Total de Documentos</t>
  </si>
  <si>
    <t xml:space="preserve">Total de Volumes</t>
  </si>
  <si>
    <t xml:space="preserve">Peso Total</t>
  </si>
  <si>
    <t xml:space="preserve">Peso Cubado</t>
  </si>
  <si>
    <t xml:space="preserve">Valor Total das Mercadorias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</si>
</sst>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6.85" hidden="false" customHeight="false" outlineLevel="0" collapsed="false">
      <c r="A2" s="2" t="s">
        <v>9</v>
      </c>
      <c r="B2" s="3" t="n">
        <v>33</v>
      </c>
      <c r="C2" s="4" t="n">
        <v>6</v>
      </c>
      <c r="D2" s="3" t="n">
        <v>215</v>
      </c>
      <c r="E2" s="3" t="n">
        <v>1812.66</v>
      </c>
      <c r="F2" s="2" t="s">
        <v>10</v>
      </c>
      <c r="G2" s="4" t="s">
        <v>11</v>
      </c>
      <c r="H2" s="2" t="s">
        <v>12</v>
      </c>
      <c r="I2" s="4" t="s">
        <v>13</v>
      </c>
    </row>
    <row r="3" customFormat="false" ht="26.85" hidden="false" customHeight="false" outlineLevel="0" collapsed="false">
      <c r="A3" s="2" t="s">
        <v>14</v>
      </c>
      <c r="B3" s="3" t="n">
        <v>2.06</v>
      </c>
      <c r="C3" s="4" t="n">
        <v>1</v>
      </c>
      <c r="D3" s="3" t="n">
        <v>0</v>
      </c>
      <c r="E3" s="3" t="n">
        <v>2500</v>
      </c>
      <c r="F3" s="2" t="s">
        <v>15</v>
      </c>
      <c r="G3" s="4" t="s">
        <v>16</v>
      </c>
      <c r="H3" s="2" t="s">
        <v>17</v>
      </c>
      <c r="I3" s="4" t="s">
        <v>18</v>
      </c>
    </row>
    <row r="4" customFormat="false" ht="26.85" hidden="false" customHeight="false" outlineLevel="0" collapsed="false">
      <c r="A4" s="2" t="s">
        <v>19</v>
      </c>
      <c r="B4" s="3" t="n">
        <v>34.71</v>
      </c>
      <c r="C4" s="4" t="n">
        <v>2</v>
      </c>
      <c r="D4" s="3" t="n">
        <v>0</v>
      </c>
      <c r="E4" s="3" t="n">
        <v>3415.92</v>
      </c>
      <c r="F4" s="2" t="s">
        <v>15</v>
      </c>
      <c r="G4" s="4" t="s">
        <v>16</v>
      </c>
      <c r="H4" s="2" t="s">
        <v>20</v>
      </c>
      <c r="I4" s="4" t="s">
        <v>21</v>
      </c>
    </row>
    <row r="6" customFormat="false" ht="15" hidden="false" customHeight="false" outlineLevel="0" collapsed="false">
      <c r="A6" s="5" t="s">
        <v>22</v>
      </c>
    </row>
    <row r="7" customFormat="false" ht="15" hidden="false" customHeight="false" outlineLevel="0" collapsed="false">
      <c r="A7" s="6" t="s">
        <v>23</v>
      </c>
      <c r="B7" s="7" t="n">
        <f aca="false">COUNTA(A2:A4)</f>
        <v>3</v>
      </c>
    </row>
    <row r="8" customFormat="false" ht="15" hidden="false" customHeight="false" outlineLevel="0" collapsed="false">
      <c r="A8" s="6" t="s">
        <v>24</v>
      </c>
      <c r="B8" s="7" t="n">
        <f aca="false">SUMPRODUCT((H2:H4&lt;&gt;"")*(LEN(H2:H4)-LEN(SUBSTITUTE(H2:H4,",",""))+1))</f>
        <v>6</v>
      </c>
    </row>
    <row r="9" customFormat="false" ht="15" hidden="false" customHeight="false" outlineLevel="0" collapsed="false">
      <c r="A9" s="6" t="s">
        <v>25</v>
      </c>
      <c r="B9" s="7" t="n">
        <f aca="false">SUM(C2:C4)</f>
        <v>9</v>
      </c>
    </row>
    <row r="10" customFormat="false" ht="15" hidden="false" customHeight="false" outlineLevel="0" collapsed="false">
      <c r="A10" s="6" t="s">
        <v>26</v>
      </c>
      <c r="B10" s="8" t="n">
        <f aca="false">SUM(B2:B4)</f>
        <v>69.77</v>
      </c>
    </row>
    <row r="11" customFormat="false" ht="15" hidden="false" customHeight="false" outlineLevel="0" collapsed="false">
      <c r="A11" s="6" t="s">
        <v>27</v>
      </c>
      <c r="B11" s="8" t="n">
        <f aca="false">SUM(D2:D4)</f>
        <v>215</v>
      </c>
    </row>
    <row r="12" customFormat="false" ht="15" hidden="false" customHeight="false" outlineLevel="0" collapsed="false">
      <c r="A12" s="6" t="s">
        <v>28</v>
      </c>
      <c r="B12" s="8" t="n">
        <f aca="false">SUM(E2:E4)</f>
        <v>7728.58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2026-10-16T13:52:39Z</dcterms:created>
  <dc:creator>openpyxl</dc:creator>
  <dc:description/>
  <dc:language>en-US</dc:language>
  <cp:lastModifiedBy/>
  <dcterms:modified xsi:type="dcterms:W3CDTF">2026-10-16T13:52:39Z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